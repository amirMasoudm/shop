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هرست اصلی" sheetId="1" state="visible" r:id="rId1"/>
    <sheet name="پیوست — بررسی دستی" sheetId="2" state="visible" r:id="rId2"/>
  </sheets>
  <definedNames>
    <definedName name="_xlnm._FilterDatabase" localSheetId="0" hidden="1">'فهرست اصلی'!$A$12:$G$134</definedName>
    <definedName name="_xlnm._FilterDatabase" localSheetId="1" hidden="1">'پیوست — بررسی دستی'!$A$9:$G$23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;;&quot;—&quot;"/>
  </numFmts>
  <fonts count="11">
    <font>
      <name val="Calibri"/>
      <family val="2"/>
      <color theme="1"/>
      <sz val="11"/>
      <scheme val="minor"/>
    </font>
    <font>
      <name val="Tahoma"/>
      <b val="1"/>
      <color rgb="000F3D5C"/>
      <sz val="14"/>
    </font>
    <font>
      <name val="Tahoma"/>
      <color rgb="005B6B77"/>
      <sz val="9"/>
    </font>
    <font>
      <name val="Tahoma"/>
      <b val="1"/>
      <color rgb="000F3D5C"/>
      <sz val="10"/>
    </font>
    <font>
      <name val="Tahoma"/>
      <b val="1"/>
      <color rgb="00C6531F"/>
      <sz val="9"/>
    </font>
    <font>
      <name val="Tahoma"/>
      <b val="1"/>
      <color rgb="000F3D5C"/>
      <sz val="9"/>
    </font>
    <font>
      <name val="Tahoma"/>
      <sz val="9"/>
    </font>
    <font>
      <name val="Tahoma"/>
      <color rgb="005B6B77"/>
      <sz val="8"/>
    </font>
    <font>
      <name val="Tahoma"/>
      <b val="1"/>
      <color rgb="000F3D5C"/>
      <sz val="11"/>
    </font>
    <font>
      <name val="Tahoma"/>
      <b val="1"/>
      <color rgb="00FFFFFF"/>
      <sz val="9.5"/>
    </font>
    <font>
      <name val="Tahoma"/>
      <i val="1"/>
      <color rgb="008A8A8A"/>
      <sz val="9"/>
    </font>
  </fonts>
  <fills count="6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EEF3F7"/>
      </patternFill>
    </fill>
    <fill>
      <patternFill patternType="solid">
        <fgColor rgb="000F3D5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9C6D0"/>
      </left>
      <right style="thin">
        <color rgb="00B9C6D0"/>
      </right>
      <top style="thin">
        <color rgb="00B9C6D0"/>
      </top>
      <bottom style="thin">
        <color rgb="00B9C6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داده‌نما</author>
  </authors>
  <commentList>
    <comment ref="A13" authorId="0" shapeId="0">
      <text>
        <t>این سطر فقط نمونه است تا قالب پاسخ را نشان دهد. قبل از تحویل، کل سطر را پاک کنید.</t>
      </text>
    </comment>
  </commentList>
</comments>
</file>

<file path=xl/comments/comment2.xml><?xml version="1.0" encoding="utf-8"?>
<comments xmlns="http://schemas.openxmlformats.org/spreadsheetml/2006/main">
  <authors>
    <author>داده‌نما</author>
  </authors>
  <commentList>
    <comment ref="A10" authorId="0" shapeId="0">
      <text>
        <t>این سطر فقط نمونه است تا قالب پاسخ را نشان دهد. قبل از تحویل، کل سطر را پاک کنید.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rightToLeft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0" customWidth="1" min="3" max="3"/>
    <col width="16" customWidth="1" min="4" max="4"/>
    <col width="18" customWidth="1" min="5" max="5"/>
    <col width="38" customWidth="1" min="6" max="6"/>
    <col width="30" customWidth="1" min="7" max="7"/>
  </cols>
  <sheetData>
    <row r="1" ht="24" customHeight="1">
      <c r="A1" s="1" t="inlineStr">
        <is>
          <t>کالاهای فایل میکروتیک که در سایت موجود نیستند — 121 کالا</t>
        </is>
      </c>
    </row>
    <row r="2">
      <c r="A2" s="2" t="inlineStr">
        <is>
          <t>منبع: فایل داخلی شرکت، شیت «قیمت میکروتیک» (۲۰۰ ردیف) — تاریخ ۱۴۰۵/۰۵/۱۹ — واحد ستون قیمت: میلیون تومان (قیمت فایل، بدون ضریب فروش)</t>
        </is>
      </c>
    </row>
    <row r="4">
      <c r="A4" s="3" t="inlineStr">
        <is>
          <t>راهنمای تکمیل</t>
        </is>
      </c>
      <c r="E4" s="4" t="inlineStr">
        <is>
          <t>فقط ستون‌های زرد را پر کنید</t>
        </is>
      </c>
    </row>
    <row r="5">
      <c r="A5" s="5" t="inlineStr">
        <is>
          <t>اضافه شود</t>
        </is>
      </c>
      <c r="B5" s="6" t="inlineStr">
        <is>
          <t>کالا باید به‌عنوان محصول جدید در سایت ساخته شود.</t>
        </is>
      </c>
    </row>
    <row r="6">
      <c r="A6" s="5" t="inlineStr">
        <is>
          <t>اضافه نشود</t>
        </is>
      </c>
      <c r="B6" s="6" t="inlineStr">
        <is>
          <t>این کالا قرار نیست در سایت فروخته شود.</t>
        </is>
      </c>
    </row>
    <row r="7">
      <c r="A7" s="5" t="inlineStr">
        <is>
          <t>تکراری</t>
        </is>
      </c>
      <c r="B7" s="6" t="inlineStr">
        <is>
          <t>همین کالا با نام دیگری در سایت هست — نام سایت را در ستون بعدی بنویسید.</t>
        </is>
      </c>
    </row>
    <row r="9">
      <c r="A9" s="3" t="inlineStr">
        <is>
          <t>پیشرفت</t>
        </is>
      </c>
      <c r="B9" s="7" t="inlineStr">
        <is>
          <t>کل</t>
        </is>
      </c>
      <c r="C9" s="7" t="inlineStr">
        <is>
          <t>تعیین‌شده</t>
        </is>
      </c>
      <c r="D9" s="7" t="inlineStr">
        <is>
          <t>اضافه شود</t>
        </is>
      </c>
      <c r="E9" s="7" t="inlineStr">
        <is>
          <t>اضافه نشود</t>
        </is>
      </c>
      <c r="F9" s="7" t="inlineStr">
        <is>
          <t>تکراری</t>
        </is>
      </c>
      <c r="G9" s="7" t="inlineStr">
        <is>
          <t>باقی‌مانده</t>
        </is>
      </c>
    </row>
    <row r="10">
      <c r="B10" s="8">
        <f>121</f>
        <v/>
      </c>
      <c r="C10" s="8">
        <f>COUNTA($E$14:$E$134)</f>
        <v/>
      </c>
      <c r="D10" s="8">
        <f>COUNTIF($E$14:$E$134,"اضافه شود")</f>
        <v/>
      </c>
      <c r="E10" s="8">
        <f>COUNTIF($E$14:$E$134,"اضافه نشود")</f>
        <v/>
      </c>
      <c r="F10" s="8">
        <f>COUNTIF($E$14:$E$134,"تکراری")</f>
        <v/>
      </c>
      <c r="G10" s="8">
        <f>121-COUNTA($E$14:$E$134)</f>
        <v/>
      </c>
    </row>
    <row r="12" ht="30" customHeight="1">
      <c r="A12" s="9" t="inlineStr">
        <is>
          <t>ردیف اکسل</t>
        </is>
      </c>
      <c r="B12" s="9" t="inlineStr">
        <is>
          <t>نام کالا در فایل</t>
        </is>
      </c>
      <c r="C12" s="9" t="inlineStr">
        <is>
          <t>موجودی</t>
        </is>
      </c>
      <c r="D12" s="9" t="inlineStr">
        <is>
          <t>قیمت فایل (م.ت)</t>
        </is>
      </c>
      <c r="E12" s="9" t="inlineStr">
        <is>
          <t>تصمیم فروش</t>
        </is>
      </c>
      <c r="F12" s="9" t="inlineStr">
        <is>
          <t>نام محصول در سایت (اگر «تکراری»)</t>
        </is>
      </c>
      <c r="G12" s="9" t="inlineStr">
        <is>
          <t>توضیح (اختیاری)</t>
        </is>
      </c>
    </row>
    <row r="13">
      <c r="A13" s="10" t="inlineStr">
        <is>
          <t>نمونه</t>
        </is>
      </c>
      <c r="B13" s="11" t="inlineStr">
        <is>
          <t>CCR2004-1G-12S+2XS</t>
        </is>
      </c>
      <c r="C13" s="10" t="n">
        <v>3</v>
      </c>
      <c r="D13" s="10" t="n">
        <v>97</v>
      </c>
      <c r="E13" s="10" t="inlineStr">
        <is>
          <t>اضافه شود</t>
        </is>
      </c>
      <c r="F13" s="11" t="inlineStr"/>
      <c r="G13" s="11" t="inlineStr">
        <is>
          <t>همراه با ماژول SFP سفارش شود</t>
        </is>
      </c>
    </row>
    <row r="14">
      <c r="A14" s="12" t="n">
        <v>7</v>
      </c>
      <c r="B14" s="13" t="inlineStr">
        <is>
          <t>CCR2004 1G 2XS PCIe</t>
        </is>
      </c>
      <c r="C14" s="14" t="n">
        <v>1</v>
      </c>
      <c r="D14" s="15" t="n">
        <v>45</v>
      </c>
      <c r="E14" s="16" t="n"/>
      <c r="F14" s="17" t="n"/>
      <c r="G14" s="17" t="n"/>
    </row>
    <row r="15">
      <c r="A15" s="18" t="n">
        <v>18</v>
      </c>
      <c r="B15" s="19" t="inlineStr">
        <is>
          <t>CSS326-24G-2S+RM</t>
        </is>
      </c>
      <c r="C15" s="20" t="n">
        <v>4</v>
      </c>
      <c r="D15" s="21" t="n">
        <v>32</v>
      </c>
      <c r="E15" s="16" t="n"/>
      <c r="F15" s="17" t="n"/>
      <c r="G15" s="17" t="n"/>
    </row>
    <row r="16">
      <c r="A16" s="12" t="n">
        <v>22</v>
      </c>
      <c r="B16" s="13" t="inlineStr">
        <is>
          <t>L009 IN</t>
        </is>
      </c>
      <c r="C16" s="14" t="n">
        <v>6</v>
      </c>
      <c r="D16" s="15" t="n">
        <v>28</v>
      </c>
      <c r="E16" s="16" t="n"/>
      <c r="F16" s="17" t="n"/>
      <c r="G16" s="17" t="n"/>
    </row>
    <row r="17">
      <c r="A17" s="18" t="n">
        <v>23</v>
      </c>
      <c r="B17" s="19" t="inlineStr">
        <is>
          <t>L009 RM</t>
        </is>
      </c>
      <c r="C17" s="20" t="n">
        <v>27</v>
      </c>
      <c r="D17" s="21" t="n">
        <v>22</v>
      </c>
      <c r="E17" s="16" t="n"/>
      <c r="F17" s="17" t="n"/>
      <c r="G17" s="17" t="n"/>
    </row>
    <row r="18">
      <c r="A18" s="12" t="n">
        <v>27</v>
      </c>
      <c r="B18" s="13" t="inlineStr">
        <is>
          <t>4011 RM</t>
        </is>
      </c>
      <c r="C18" s="14" t="n">
        <v>2</v>
      </c>
      <c r="D18" s="15" t="n">
        <v>42</v>
      </c>
      <c r="E18" s="16" t="n"/>
      <c r="F18" s="17" t="n"/>
      <c r="G18" s="17" t="n"/>
    </row>
    <row r="19">
      <c r="A19" s="18" t="n">
        <v>28</v>
      </c>
      <c r="B19" s="19" t="inlineStr">
        <is>
          <t>4011 IN</t>
        </is>
      </c>
      <c r="C19" s="20" t="n">
        <v>12</v>
      </c>
      <c r="D19" s="21" t="n">
        <v>52</v>
      </c>
      <c r="E19" s="16" t="n"/>
      <c r="F19" s="17" t="n"/>
      <c r="G19" s="17" t="n"/>
    </row>
    <row r="20">
      <c r="A20" s="12" t="n">
        <v>29</v>
      </c>
      <c r="B20" s="13" t="inlineStr">
        <is>
          <t>5009UPr+S+IN</t>
        </is>
      </c>
      <c r="C20" s="12" t="n">
        <v>0</v>
      </c>
      <c r="D20" s="15" t="n">
        <v>60</v>
      </c>
      <c r="E20" s="16" t="n"/>
      <c r="F20" s="17" t="n"/>
      <c r="G20" s="17" t="n"/>
    </row>
    <row r="21">
      <c r="A21" s="18" t="n">
        <v>32</v>
      </c>
      <c r="B21" s="19" t="inlineStr">
        <is>
          <t>HEX/ hex refresh</t>
        </is>
      </c>
      <c r="C21" s="20" t="n">
        <v>9</v>
      </c>
      <c r="D21" s="21" t="n">
        <v>12.5</v>
      </c>
      <c r="E21" s="16" t="n"/>
      <c r="F21" s="17" t="n"/>
      <c r="G21" s="17" t="n"/>
    </row>
    <row r="22">
      <c r="A22" s="12" t="n">
        <v>34</v>
      </c>
      <c r="B22" s="13" t="inlineStr">
        <is>
          <t>hex s 2025</t>
        </is>
      </c>
      <c r="C22" s="14" t="n">
        <v>30</v>
      </c>
      <c r="D22" s="15" t="n">
        <v>17.5</v>
      </c>
      <c r="E22" s="16" t="n"/>
      <c r="F22" s="17" t="n"/>
      <c r="G22" s="17" t="n"/>
    </row>
    <row r="23">
      <c r="A23" s="18" t="n">
        <v>40</v>
      </c>
      <c r="B23" s="19" t="inlineStr">
        <is>
          <t>hap ax s</t>
        </is>
      </c>
      <c r="C23" s="20" t="n">
        <v>30</v>
      </c>
      <c r="D23" s="21" t="inlineStr">
        <is>
          <t>—</t>
        </is>
      </c>
      <c r="E23" s="16" t="n"/>
      <c r="F23" s="17" t="n"/>
      <c r="G23" s="17" t="n"/>
    </row>
    <row r="24">
      <c r="A24" s="12" t="n">
        <v>44</v>
      </c>
      <c r="B24" s="13" t="inlineStr">
        <is>
          <t>Chateau 5G ax</t>
        </is>
      </c>
      <c r="C24" s="12" t="n">
        <v>0</v>
      </c>
      <c r="D24" s="15" t="inlineStr">
        <is>
          <t>—</t>
        </is>
      </c>
      <c r="E24" s="16" t="n"/>
      <c r="F24" s="17" t="n"/>
      <c r="G24" s="17" t="n"/>
    </row>
    <row r="25">
      <c r="A25" s="18" t="n">
        <v>45</v>
      </c>
      <c r="B25" s="19" t="inlineStr">
        <is>
          <t>chateau lte7</t>
        </is>
      </c>
      <c r="C25" s="20" t="n">
        <v>5</v>
      </c>
      <c r="D25" s="21" t="inlineStr">
        <is>
          <t>—</t>
        </is>
      </c>
      <c r="E25" s="16" t="n"/>
      <c r="F25" s="17" t="n"/>
      <c r="G25" s="17" t="n"/>
    </row>
    <row r="26">
      <c r="A26" s="12" t="n">
        <v>53</v>
      </c>
      <c r="B26" s="13" t="inlineStr">
        <is>
          <t>NETMETAL AX</t>
        </is>
      </c>
      <c r="C26" s="14" t="n">
        <v>4</v>
      </c>
      <c r="D26" s="15" t="n">
        <v>40</v>
      </c>
      <c r="E26" s="16" t="n"/>
      <c r="F26" s="17" t="n"/>
      <c r="G26" s="17" t="n"/>
    </row>
    <row r="27">
      <c r="A27" s="18" t="n">
        <v>54</v>
      </c>
      <c r="B27" s="19" t="inlineStr">
        <is>
          <t>NETMETAL 921</t>
        </is>
      </c>
      <c r="C27" s="20" t="n">
        <v>57</v>
      </c>
      <c r="D27" s="21" t="n">
        <v>38</v>
      </c>
      <c r="E27" s="16" t="n"/>
      <c r="F27" s="17" t="n"/>
      <c r="G27" s="17" t="n"/>
    </row>
    <row r="28">
      <c r="A28" s="12" t="n">
        <v>55</v>
      </c>
      <c r="B28" s="13" t="inlineStr">
        <is>
          <t>922 NETMETAL</t>
        </is>
      </c>
      <c r="C28" s="14" t="n">
        <v>113</v>
      </c>
      <c r="D28" s="15" t="n">
        <v>32</v>
      </c>
      <c r="E28" s="16" t="n"/>
      <c r="F28" s="17" t="n"/>
      <c r="G28" s="17" t="n"/>
    </row>
    <row r="29">
      <c r="A29" s="18" t="n">
        <v>57</v>
      </c>
      <c r="B29" s="19" t="inlineStr">
        <is>
          <t>netbox AX</t>
        </is>
      </c>
      <c r="C29" s="20" t="n">
        <v>29</v>
      </c>
      <c r="D29" s="21" t="n">
        <v>28</v>
      </c>
      <c r="E29" s="16" t="n"/>
      <c r="F29" s="17" t="n"/>
      <c r="G29" s="17" t="n"/>
    </row>
    <row r="30">
      <c r="A30" s="12" t="n">
        <v>59</v>
      </c>
      <c r="B30" s="13" t="inlineStr">
        <is>
          <t>mantbox ax15s</t>
        </is>
      </c>
      <c r="C30" s="12" t="n">
        <v>0</v>
      </c>
      <c r="D30" s="15" t="n">
        <v>34</v>
      </c>
      <c r="E30" s="16" t="n"/>
      <c r="F30" s="17" t="n"/>
      <c r="G30" s="17" t="n"/>
    </row>
    <row r="31">
      <c r="A31" s="18" t="n">
        <v>61</v>
      </c>
      <c r="B31" s="19" t="inlineStr">
        <is>
          <t>OMNITIK POE AC</t>
        </is>
      </c>
      <c r="C31" s="20" t="n">
        <v>9</v>
      </c>
      <c r="D31" s="21" t="n">
        <v>32</v>
      </c>
      <c r="E31" s="16" t="n"/>
      <c r="F31" s="17" t="n"/>
      <c r="G31" s="17" t="n"/>
    </row>
    <row r="32">
      <c r="A32" s="12" t="n">
        <v>64</v>
      </c>
      <c r="B32" s="13" t="inlineStr">
        <is>
          <t>RBGrooveA-52HPn</t>
        </is>
      </c>
      <c r="C32" s="14" t="n">
        <v>22</v>
      </c>
      <c r="D32" s="15" t="n">
        <v>24</v>
      </c>
      <c r="E32" s="16" t="n"/>
      <c r="F32" s="17" t="n"/>
      <c r="G32" s="17" t="n"/>
    </row>
    <row r="33">
      <c r="A33" s="18" t="n">
        <v>66</v>
      </c>
      <c r="B33" s="19" t="inlineStr">
        <is>
          <t>SXT LTE 7 kit</t>
        </is>
      </c>
      <c r="C33" s="20" t="n">
        <v>82</v>
      </c>
      <c r="D33" s="21" t="n">
        <v>59</v>
      </c>
      <c r="E33" s="16" t="n"/>
      <c r="F33" s="17" t="n"/>
      <c r="G33" s="17" t="n"/>
    </row>
    <row r="34">
      <c r="A34" s="12" t="n">
        <v>68</v>
      </c>
      <c r="B34" s="13" t="inlineStr">
        <is>
          <t>SXT SQ 5 AX</t>
        </is>
      </c>
      <c r="C34" s="14" t="n">
        <v>34</v>
      </c>
      <c r="D34" s="15" t="n">
        <v>13</v>
      </c>
      <c r="E34" s="16" t="n"/>
      <c r="F34" s="17" t="n"/>
      <c r="G34" s="17" t="n"/>
    </row>
    <row r="35">
      <c r="A35" s="18" t="n">
        <v>81</v>
      </c>
      <c r="B35" s="19" t="inlineStr">
        <is>
          <t>ATL LTE18 kit</t>
        </is>
      </c>
      <c r="C35" s="20" t="n">
        <v>3</v>
      </c>
      <c r="D35" s="21" t="inlineStr">
        <is>
          <t>—</t>
        </is>
      </c>
      <c r="E35" s="16" t="n"/>
      <c r="F35" s="17" t="n"/>
      <c r="G35" s="17" t="n"/>
    </row>
    <row r="36">
      <c r="A36" s="12" t="n">
        <v>82</v>
      </c>
      <c r="B36" s="13" t="inlineStr">
        <is>
          <t>LHG AX</t>
        </is>
      </c>
      <c r="C36" s="14" t="n">
        <v>5</v>
      </c>
      <c r="D36" s="15" t="n">
        <v>25</v>
      </c>
      <c r="E36" s="16" t="n"/>
      <c r="F36" s="17" t="n"/>
      <c r="G36" s="17" t="n"/>
    </row>
    <row r="37">
      <c r="A37" s="18" t="n">
        <v>83</v>
      </c>
      <c r="B37" s="19" t="inlineStr">
        <is>
          <t>lhg xl ax</t>
        </is>
      </c>
      <c r="C37" s="20" t="n">
        <v>1</v>
      </c>
      <c r="D37" s="21" t="n">
        <v>38</v>
      </c>
      <c r="E37" s="16" t="n"/>
      <c r="F37" s="17" t="n"/>
      <c r="G37" s="17" t="n"/>
    </row>
    <row r="38">
      <c r="A38" s="12" t="n">
        <v>84</v>
      </c>
      <c r="B38" s="13" t="inlineStr">
        <is>
          <t>LHG G LTE6 KIT</t>
        </is>
      </c>
      <c r="C38" s="14" t="n">
        <v>27</v>
      </c>
      <c r="D38" s="15" t="n">
        <v>58</v>
      </c>
      <c r="E38" s="16" t="n"/>
      <c r="F38" s="17" t="n"/>
      <c r="G38" s="17" t="n"/>
    </row>
    <row r="39">
      <c r="A39" s="18" t="n">
        <v>85</v>
      </c>
      <c r="B39" s="19" t="inlineStr">
        <is>
          <t>LHG G LTE7 KIT</t>
        </is>
      </c>
      <c r="C39" s="20" t="n">
        <v>10</v>
      </c>
      <c r="D39" s="21" t="n">
        <v>59</v>
      </c>
      <c r="E39" s="16" t="n"/>
      <c r="F39" s="17" t="n"/>
      <c r="G39" s="17" t="n"/>
    </row>
    <row r="40">
      <c r="A40" s="12" t="n">
        <v>87</v>
      </c>
      <c r="B40" s="13" t="inlineStr">
        <is>
          <t>LHg5 3pack</t>
        </is>
      </c>
      <c r="C40" s="14" t="n">
        <v>294</v>
      </c>
      <c r="D40" s="15" t="inlineStr">
        <is>
          <t>—</t>
        </is>
      </c>
      <c r="E40" s="16" t="n"/>
      <c r="F40" s="17" t="n"/>
      <c r="G40" s="17" t="n"/>
    </row>
    <row r="41">
      <c r="A41" s="18" t="n">
        <v>89</v>
      </c>
      <c r="B41" s="19" t="inlineStr">
        <is>
          <t>LHG XL AC</t>
        </is>
      </c>
      <c r="C41" s="20" t="n">
        <v>19</v>
      </c>
      <c r="D41" s="21" t="n">
        <v>27</v>
      </c>
      <c r="E41" s="16" t="n"/>
      <c r="F41" s="17" t="n"/>
      <c r="G41" s="17" t="n"/>
    </row>
    <row r="42">
      <c r="A42" s="12" t="n">
        <v>90</v>
      </c>
      <c r="B42" s="13" t="inlineStr">
        <is>
          <t>LHG 60 LINK</t>
        </is>
      </c>
      <c r="C42" s="14" t="n">
        <v>24</v>
      </c>
      <c r="D42" s="15" t="n">
        <v>87</v>
      </c>
      <c r="E42" s="16" t="n"/>
      <c r="F42" s="17" t="n"/>
      <c r="G42" s="17" t="n"/>
    </row>
    <row r="43">
      <c r="A43" s="18" t="n">
        <v>91</v>
      </c>
      <c r="B43" s="19" t="inlineStr">
        <is>
          <t>Nray هر عدد</t>
        </is>
      </c>
      <c r="C43" s="20" t="n">
        <v>4</v>
      </c>
      <c r="D43" s="21" t="n">
        <v>36</v>
      </c>
      <c r="E43" s="16" t="n"/>
      <c r="F43" s="17" t="n"/>
      <c r="G43" s="17" t="n"/>
    </row>
    <row r="44">
      <c r="A44" s="12" t="n">
        <v>92</v>
      </c>
      <c r="B44" s="13" t="inlineStr">
        <is>
          <t>Wireless Wire Cube Pro Link</t>
        </is>
      </c>
      <c r="C44" s="12" t="n">
        <v>0</v>
      </c>
      <c r="D44" s="15" t="inlineStr">
        <is>
          <t>—</t>
        </is>
      </c>
      <c r="E44" s="16" t="n"/>
      <c r="F44" s="17" t="n"/>
      <c r="G44" s="17" t="n"/>
    </row>
    <row r="45">
      <c r="A45" s="18" t="n">
        <v>93</v>
      </c>
      <c r="B45" s="19" t="inlineStr">
        <is>
          <t>epmp 6ghz force 4625</t>
        </is>
      </c>
      <c r="C45" s="20" t="n">
        <v>12</v>
      </c>
      <c r="D45" s="21" t="inlineStr">
        <is>
          <t>—</t>
        </is>
      </c>
      <c r="E45" s="16" t="n"/>
      <c r="F45" s="17" t="n"/>
      <c r="G45" s="17" t="n"/>
    </row>
    <row r="46">
      <c r="A46" s="12" t="n">
        <v>97</v>
      </c>
      <c r="B46" s="13" t="inlineStr">
        <is>
          <t>p2p LDF 5AC با انتن</t>
        </is>
      </c>
      <c r="C46" s="14" t="n">
        <v>8</v>
      </c>
      <c r="D46" s="15" t="n">
        <v>24</v>
      </c>
      <c r="E46" s="16" t="n"/>
      <c r="F46" s="17" t="n"/>
      <c r="G46" s="17" t="n"/>
    </row>
    <row r="47">
      <c r="A47" s="18" t="n">
        <v>101</v>
      </c>
      <c r="B47" s="19" t="inlineStr">
        <is>
          <t>S+31DLC10D</t>
        </is>
      </c>
      <c r="C47" s="18" t="n">
        <v>0</v>
      </c>
      <c r="D47" s="21" t="inlineStr">
        <is>
          <t>—</t>
        </is>
      </c>
      <c r="E47" s="16" t="n"/>
      <c r="F47" s="17" t="n"/>
      <c r="G47" s="17" t="n"/>
    </row>
    <row r="48">
      <c r="A48" s="12" t="n">
        <v>107</v>
      </c>
      <c r="B48" s="13" t="inlineStr">
        <is>
          <t>mikrotik  ATL 18kit</t>
        </is>
      </c>
      <c r="C48" s="12" t="n">
        <v>0</v>
      </c>
      <c r="D48" s="15" t="inlineStr">
        <is>
          <t>—</t>
        </is>
      </c>
      <c r="E48" s="16" t="n"/>
      <c r="F48" s="17" t="n"/>
      <c r="G48" s="17" t="n"/>
    </row>
    <row r="49">
      <c r="A49" s="18" t="n">
        <v>109</v>
      </c>
      <c r="B49" s="19" t="inlineStr">
        <is>
          <t>LMR200 S-N</t>
        </is>
      </c>
      <c r="C49" s="20" t="n">
        <v>356</v>
      </c>
      <c r="D49" s="21" t="n">
        <v>0.75</v>
      </c>
      <c r="E49" s="16" t="n"/>
      <c r="F49" s="17" t="n"/>
      <c r="G49" s="17" t="n"/>
    </row>
    <row r="50">
      <c r="A50" s="12" t="n">
        <v>110</v>
      </c>
      <c r="B50" s="13" t="inlineStr">
        <is>
          <t>LMR200 S-S</t>
        </is>
      </c>
      <c r="C50" s="14" t="n">
        <v>5</v>
      </c>
      <c r="D50" s="15" t="n">
        <v>0.75</v>
      </c>
      <c r="E50" s="16" t="n"/>
      <c r="F50" s="17" t="n"/>
      <c r="G50" s="17" t="n"/>
    </row>
    <row r="51">
      <c r="A51" s="18" t="n">
        <v>111</v>
      </c>
      <c r="B51" s="19" t="inlineStr">
        <is>
          <t>LMR200 N-N</t>
        </is>
      </c>
      <c r="C51" s="20" t="n">
        <v>41</v>
      </c>
      <c r="D51" s="21" t="n">
        <v>0.75</v>
      </c>
      <c r="E51" s="16" t="n"/>
      <c r="F51" s="17" t="n"/>
      <c r="G51" s="17" t="n"/>
    </row>
    <row r="52">
      <c r="A52" s="12" t="n">
        <v>112</v>
      </c>
      <c r="B52" s="13" t="inlineStr">
        <is>
          <t>LMR400 N-N</t>
        </is>
      </c>
      <c r="C52" s="14" t="n">
        <v>14</v>
      </c>
      <c r="D52" s="15" t="n">
        <v>1.8</v>
      </c>
      <c r="E52" s="16" t="n"/>
      <c r="F52" s="17" t="n"/>
      <c r="G52" s="17" t="n"/>
    </row>
    <row r="53">
      <c r="A53" s="18" t="n">
        <v>114</v>
      </c>
      <c r="B53" s="19" t="inlineStr">
        <is>
          <t>B5X LINK</t>
        </is>
      </c>
      <c r="C53" s="18" t="n">
        <v>0</v>
      </c>
      <c r="D53" s="21" t="n">
        <v>210</v>
      </c>
      <c r="E53" s="16" t="n"/>
      <c r="F53" s="17" t="n"/>
      <c r="G53" s="17" t="n"/>
    </row>
    <row r="54">
      <c r="A54" s="12" t="n">
        <v>115</v>
      </c>
      <c r="B54" s="13" t="inlineStr">
        <is>
          <t>b5c هر عدد</t>
        </is>
      </c>
      <c r="C54" s="14" t="n">
        <v>2</v>
      </c>
      <c r="D54" s="15" t="inlineStr">
        <is>
          <t>—</t>
        </is>
      </c>
      <c r="E54" s="16" t="n"/>
      <c r="F54" s="17" t="n"/>
      <c r="G54" s="17" t="n"/>
    </row>
    <row r="55">
      <c r="A55" s="18" t="n">
        <v>116</v>
      </c>
      <c r="B55" s="19" t="inlineStr">
        <is>
          <t>c5c غیر ثبتی</t>
        </is>
      </c>
      <c r="C55" s="20" t="n">
        <v>139</v>
      </c>
      <c r="D55" s="21" t="n">
        <v>27.5</v>
      </c>
      <c r="E55" s="16" t="n"/>
      <c r="F55" s="17" t="n"/>
      <c r="G55" s="17" t="n"/>
    </row>
    <row r="56">
      <c r="A56" s="12" t="n">
        <v>117</v>
      </c>
      <c r="B56" s="13" t="inlineStr">
        <is>
          <t>C5C ثبتی</t>
        </is>
      </c>
      <c r="C56" s="14" t="n">
        <v>4</v>
      </c>
      <c r="D56" s="15" t="n">
        <v>32</v>
      </c>
      <c r="E56" s="16" t="n"/>
      <c r="F56" s="17" t="n"/>
      <c r="G56" s="17" t="n"/>
    </row>
    <row r="57">
      <c r="A57" s="18" t="n">
        <v>118</v>
      </c>
      <c r="B57" s="19" t="inlineStr">
        <is>
          <t>mimosa c5x ثبتی</t>
        </is>
      </c>
      <c r="C57" s="20" t="n">
        <v>118</v>
      </c>
      <c r="D57" s="21" t="n">
        <v>25</v>
      </c>
      <c r="E57" s="16" t="n"/>
      <c r="F57" s="17" t="n"/>
      <c r="G57" s="17" t="n"/>
    </row>
    <row r="58">
      <c r="A58" s="12" t="n">
        <v>120</v>
      </c>
      <c r="B58" s="13" t="inlineStr">
        <is>
          <t>C6X  بدون poe.  ثبتی</t>
        </is>
      </c>
      <c r="C58" s="14" t="n">
        <v>13</v>
      </c>
      <c r="D58" s="15" t="n">
        <v>48</v>
      </c>
      <c r="E58" s="16" t="n"/>
      <c r="F58" s="17" t="n"/>
      <c r="G58" s="17" t="n"/>
    </row>
    <row r="59">
      <c r="A59" s="18" t="n">
        <v>121</v>
      </c>
      <c r="B59" s="19" t="inlineStr">
        <is>
          <t>ANTEN33XD  H</t>
        </is>
      </c>
      <c r="C59" s="18" t="n">
        <v>0</v>
      </c>
      <c r="D59" s="21" t="n">
        <v>28</v>
      </c>
      <c r="E59" s="16" t="n"/>
      <c r="F59" s="17" t="n"/>
      <c r="G59" s="17" t="n"/>
    </row>
    <row r="60">
      <c r="A60" s="12" t="n">
        <v>122</v>
      </c>
      <c r="B60" s="13" t="inlineStr">
        <is>
          <t>ANTEN33XD  L</t>
        </is>
      </c>
      <c r="C60" s="12" t="n">
        <v>0</v>
      </c>
      <c r="D60" s="15" t="n">
        <v>28</v>
      </c>
      <c r="E60" s="16" t="n"/>
      <c r="F60" s="17" t="n"/>
      <c r="G60" s="17" t="n"/>
    </row>
    <row r="61">
      <c r="A61" s="18" t="n">
        <v>123</v>
      </c>
      <c r="B61" s="19" t="inlineStr">
        <is>
          <t>ANTEN30XD</t>
        </is>
      </c>
      <c r="C61" s="20" t="n">
        <v>23</v>
      </c>
      <c r="D61" s="21" t="n">
        <v>19</v>
      </c>
      <c r="E61" s="16" t="n"/>
      <c r="F61" s="17" t="n"/>
      <c r="G61" s="17" t="n"/>
    </row>
    <row r="62">
      <c r="A62" s="12" t="n">
        <v>125</v>
      </c>
      <c r="B62" s="13" t="inlineStr">
        <is>
          <t>Fanvil V62G</t>
        </is>
      </c>
      <c r="C62" s="14" t="n">
        <v>31</v>
      </c>
      <c r="D62" s="15" t="n">
        <v>11</v>
      </c>
      <c r="E62" s="16" t="n"/>
      <c r="F62" s="17" t="n"/>
      <c r="G62" s="17" t="n"/>
    </row>
    <row r="63">
      <c r="A63" s="18" t="n">
        <v>126</v>
      </c>
      <c r="B63" s="19" t="inlineStr">
        <is>
          <t>Fanvil V61W</t>
        </is>
      </c>
      <c r="C63" s="20" t="n">
        <v>2</v>
      </c>
      <c r="D63" s="21" t="n">
        <v>8.5</v>
      </c>
      <c r="E63" s="16" t="n"/>
      <c r="F63" s="17" t="n"/>
      <c r="G63" s="17" t="n"/>
    </row>
    <row r="64">
      <c r="A64" s="12" t="n">
        <v>127</v>
      </c>
      <c r="B64" s="13" t="inlineStr">
        <is>
          <t>Fanvil X4</t>
        </is>
      </c>
      <c r="C64" s="14" t="n">
        <v>1</v>
      </c>
      <c r="D64" s="15" t="n">
        <v>9.5</v>
      </c>
      <c r="E64" s="16" t="n"/>
      <c r="F64" s="17" t="n"/>
      <c r="G64" s="17" t="n"/>
    </row>
    <row r="65">
      <c r="A65" s="18" t="n">
        <v>128</v>
      </c>
      <c r="B65" s="19" t="inlineStr">
        <is>
          <t>Fanvil X3S</t>
        </is>
      </c>
      <c r="C65" s="18" t="n">
        <v>0</v>
      </c>
      <c r="D65" s="21" t="n">
        <v>7</v>
      </c>
      <c r="E65" s="16" t="n"/>
      <c r="F65" s="17" t="n"/>
      <c r="G65" s="17" t="n"/>
    </row>
    <row r="66">
      <c r="A66" s="12" t="n">
        <v>129</v>
      </c>
      <c r="B66" s="13" t="inlineStr">
        <is>
          <t>Fanvil x303 p</t>
        </is>
      </c>
      <c r="C66" s="14" t="n">
        <v>9</v>
      </c>
      <c r="D66" s="15" t="n">
        <v>6.5</v>
      </c>
      <c r="E66" s="16" t="n"/>
      <c r="F66" s="17" t="n"/>
      <c r="G66" s="17" t="n"/>
    </row>
    <row r="67">
      <c r="A67" s="18" t="n">
        <v>130</v>
      </c>
      <c r="B67" s="19" t="inlineStr">
        <is>
          <t>Fanvil X1SP</t>
        </is>
      </c>
      <c r="C67" s="20" t="n">
        <v>2</v>
      </c>
      <c r="D67" s="21" t="n">
        <v>5.8</v>
      </c>
      <c r="E67" s="16" t="n"/>
      <c r="F67" s="17" t="n"/>
      <c r="G67" s="17" t="n"/>
    </row>
    <row r="68">
      <c r="A68" s="12" t="n">
        <v>132</v>
      </c>
      <c r="B68" s="13" t="inlineStr">
        <is>
          <t>AIRFIBER 60 LR غیرثبتی</t>
        </is>
      </c>
      <c r="C68" s="14" t="n">
        <v>90</v>
      </c>
      <c r="D68" s="15" t="n">
        <v>145</v>
      </c>
      <c r="E68" s="16" t="n"/>
      <c r="F68" s="17" t="n"/>
      <c r="G68" s="17" t="n"/>
    </row>
    <row r="69">
      <c r="A69" s="18" t="n">
        <v>135</v>
      </c>
      <c r="B69" s="19" t="inlineStr">
        <is>
          <t>unifi UAP AC PRO indoor</t>
        </is>
      </c>
      <c r="C69" s="18" t="n">
        <v>0</v>
      </c>
      <c r="D69" s="21" t="inlineStr">
        <is>
          <t>—</t>
        </is>
      </c>
      <c r="E69" s="16" t="n"/>
      <c r="F69" s="17" t="n"/>
      <c r="G69" s="17" t="n"/>
    </row>
    <row r="70">
      <c r="A70" s="12" t="n">
        <v>137</v>
      </c>
      <c r="B70" s="13" t="inlineStr">
        <is>
          <t>U6 Mesh pro</t>
        </is>
      </c>
      <c r="C70" s="12" t="n">
        <v>0</v>
      </c>
      <c r="D70" s="15" t="n">
        <v>36</v>
      </c>
      <c r="E70" s="16" t="n"/>
      <c r="F70" s="17" t="n"/>
      <c r="G70" s="17" t="n"/>
    </row>
    <row r="71">
      <c r="A71" s="18" t="n">
        <v>139</v>
      </c>
      <c r="B71" s="19" t="inlineStr">
        <is>
          <t>u7 lite</t>
        </is>
      </c>
      <c r="C71" s="20" t="n">
        <v>5</v>
      </c>
      <c r="D71" s="21" t="n">
        <v>22.5</v>
      </c>
      <c r="E71" s="16" t="n"/>
      <c r="F71" s="17" t="n"/>
      <c r="G71" s="17" t="n"/>
    </row>
    <row r="72">
      <c r="A72" s="12" t="n">
        <v>140</v>
      </c>
      <c r="B72" s="13" t="inlineStr">
        <is>
          <t>u7 pro wall</t>
        </is>
      </c>
      <c r="C72" s="14" t="n">
        <v>2</v>
      </c>
      <c r="D72" s="15" t="n">
        <v>49</v>
      </c>
      <c r="E72" s="16" t="n"/>
      <c r="F72" s="17" t="n"/>
      <c r="G72" s="17" t="n"/>
    </row>
    <row r="73">
      <c r="A73" s="18" t="n">
        <v>143</v>
      </c>
      <c r="B73" s="19" t="inlineStr">
        <is>
          <t>POE ADAPTER UBNT
24 v 10/100</t>
        </is>
      </c>
      <c r="C73" s="18" t="n">
        <v>0</v>
      </c>
      <c r="D73" s="21" t="n">
        <v>1.3</v>
      </c>
      <c r="E73" s="16" t="n"/>
      <c r="F73" s="17" t="n"/>
      <c r="G73" s="17" t="n"/>
    </row>
    <row r="74">
      <c r="A74" s="12" t="n">
        <v>144</v>
      </c>
      <c r="B74" s="13" t="inlineStr">
        <is>
          <t>cisco</t>
        </is>
      </c>
      <c r="C74" s="12" t="n">
        <v>0</v>
      </c>
      <c r="D74" s="15" t="inlineStr">
        <is>
          <t>—</t>
        </is>
      </c>
      <c r="E74" s="16" t="n"/>
      <c r="F74" s="17" t="n"/>
      <c r="G74" s="17" t="n"/>
    </row>
    <row r="75">
      <c r="A75" s="18" t="n">
        <v>145</v>
      </c>
      <c r="B75" s="19" t="inlineStr">
        <is>
          <t>3750G-24TS</t>
        </is>
      </c>
      <c r="C75" s="20" t="n">
        <v>1</v>
      </c>
      <c r="D75" s="21" t="n">
        <v>24</v>
      </c>
      <c r="E75" s="16" t="n"/>
      <c r="F75" s="17" t="n"/>
      <c r="G75" s="17" t="n"/>
    </row>
    <row r="76">
      <c r="A76" s="12" t="n">
        <v>146</v>
      </c>
      <c r="B76" s="13" t="inlineStr">
        <is>
          <t>3750G-24TSS</t>
        </is>
      </c>
      <c r="C76" s="12" t="n">
        <v>0</v>
      </c>
      <c r="D76" s="15" t="n">
        <v>23</v>
      </c>
      <c r="E76" s="16" t="n"/>
      <c r="F76" s="17" t="n"/>
      <c r="G76" s="17" t="n"/>
    </row>
    <row r="77">
      <c r="A77" s="18" t="n">
        <v>147</v>
      </c>
      <c r="B77" s="19" t="inlineStr">
        <is>
          <t>2960S-48TSL</t>
        </is>
      </c>
      <c r="C77" s="20" t="n">
        <v>4</v>
      </c>
      <c r="D77" s="21" t="n">
        <v>27</v>
      </c>
      <c r="E77" s="16" t="n"/>
      <c r="F77" s="17" t="n"/>
      <c r="G77" s="17" t="n"/>
    </row>
    <row r="78">
      <c r="A78" s="12" t="n">
        <v>148</v>
      </c>
      <c r="B78" s="13" t="inlineStr">
        <is>
          <t>ریفر2960x-48 FPDL</t>
        </is>
      </c>
      <c r="C78" s="14" t="n">
        <v>16</v>
      </c>
      <c r="D78" s="15" t="n">
        <v>39</v>
      </c>
      <c r="E78" s="16" t="n"/>
      <c r="F78" s="17" t="n"/>
      <c r="G78" s="17" t="n"/>
    </row>
    <row r="79">
      <c r="A79" s="18" t="n">
        <v>149</v>
      </c>
      <c r="B79" s="19" t="inlineStr">
        <is>
          <t>switch-cisco ws-C3750-48pss</t>
        </is>
      </c>
      <c r="C79" s="20" t="n">
        <v>1</v>
      </c>
      <c r="D79" s="21" t="n">
        <v>26</v>
      </c>
      <c r="E79" s="16" t="n"/>
      <c r="F79" s="17" t="n"/>
      <c r="G79" s="17" t="n"/>
    </row>
    <row r="80">
      <c r="A80" s="12" t="n">
        <v>151</v>
      </c>
      <c r="B80" s="13" t="inlineStr">
        <is>
          <t>Anten-HGO</t>
        </is>
      </c>
      <c r="C80" s="14" t="n">
        <v>4</v>
      </c>
      <c r="D80" s="15" t="n">
        <v>4.8</v>
      </c>
      <c r="E80" s="16" t="n"/>
      <c r="F80" s="17" t="n"/>
      <c r="G80" s="17" t="n"/>
    </row>
    <row r="81">
      <c r="A81" s="18" t="n">
        <v>152</v>
      </c>
      <c r="B81" s="19" t="inlineStr">
        <is>
          <t>"TDJ-5758P6A×2-28.5
 DUAL DISH"</t>
        </is>
      </c>
      <c r="C81" s="20" t="n">
        <v>1</v>
      </c>
      <c r="D81" s="21" t="n">
        <v>24</v>
      </c>
      <c r="E81" s="16" t="n"/>
      <c r="F81" s="17" t="n"/>
      <c r="G81" s="17" t="n"/>
    </row>
    <row r="82">
      <c r="A82" s="12" t="n">
        <v>153</v>
      </c>
      <c r="B82" s="13" t="inlineStr">
        <is>
          <t>"DISH ANTENA Epmp
 25dbi dual"+sma pigtail</t>
        </is>
      </c>
      <c r="C82" s="14" t="n">
        <v>20</v>
      </c>
      <c r="D82" s="15" t="n">
        <v>8</v>
      </c>
      <c r="E82" s="16" t="n"/>
      <c r="F82" s="17" t="n"/>
      <c r="G82" s="17" t="n"/>
    </row>
    <row r="83">
      <c r="A83" s="18" t="n">
        <v>154</v>
      </c>
      <c r="B83" s="19" t="inlineStr">
        <is>
          <t>WIMAXNEAR</t>
        </is>
      </c>
      <c r="C83" s="18" t="n">
        <v>0</v>
      </c>
      <c r="D83" s="21" t="inlineStr">
        <is>
          <t>—</t>
        </is>
      </c>
      <c r="E83" s="16" t="n"/>
      <c r="F83" s="17" t="n"/>
      <c r="G83" s="17" t="n"/>
    </row>
    <row r="84">
      <c r="A84" s="12" t="n">
        <v>155</v>
      </c>
      <c r="B84" s="13" t="inlineStr">
        <is>
          <t>DISH 27 L
WimaxNear solid dish 27db daul L</t>
        </is>
      </c>
      <c r="C84" s="14" t="n">
        <v>14</v>
      </c>
      <c r="D84" s="15" t="n">
        <v>9.5</v>
      </c>
      <c r="E84" s="16" t="n"/>
      <c r="F84" s="17" t="n"/>
      <c r="G84" s="17" t="n"/>
    </row>
    <row r="85">
      <c r="A85" s="18" t="n">
        <v>156</v>
      </c>
      <c r="B85" s="19" t="inlineStr">
        <is>
          <t>DISH 27 H
WimaxNear solid dish 27db daul H</t>
        </is>
      </c>
      <c r="C85" s="20" t="n">
        <v>20</v>
      </c>
      <c r="D85" s="21" t="n">
        <v>10.8</v>
      </c>
      <c r="E85" s="16" t="n"/>
      <c r="F85" s="17" t="n"/>
      <c r="G85" s="17" t="n"/>
    </row>
    <row r="86">
      <c r="A86" s="12" t="n">
        <v>157</v>
      </c>
      <c r="B86" s="13" t="inlineStr">
        <is>
          <t>DISH 28 H
Wimaxnear sp-62-28 dual Dish H</t>
        </is>
      </c>
      <c r="C86" s="14" t="n">
        <v>7</v>
      </c>
      <c r="D86" s="15" t="n">
        <v>12</v>
      </c>
      <c r="E86" s="16" t="n"/>
      <c r="F86" s="17" t="n"/>
      <c r="G86" s="17" t="n"/>
    </row>
    <row r="87">
      <c r="A87" s="18" t="n">
        <v>158</v>
      </c>
      <c r="B87" s="19" t="inlineStr">
        <is>
          <t>WIMAXNear ANT 29Dbi Lband (lanboan)</t>
        </is>
      </c>
      <c r="C87" s="20" t="n">
        <v>28</v>
      </c>
      <c r="D87" s="21" t="n">
        <v>13.5</v>
      </c>
      <c r="E87" s="16" t="n"/>
      <c r="F87" s="17" t="n"/>
      <c r="G87" s="17" t="n"/>
    </row>
    <row r="88">
      <c r="A88" s="12" t="n">
        <v>159</v>
      </c>
      <c r="B88" s="13" t="inlineStr">
        <is>
          <t>WimaxNear solid dish 29 H</t>
        </is>
      </c>
      <c r="C88" s="14" t="n">
        <v>20</v>
      </c>
      <c r="D88" s="15" t="inlineStr">
        <is>
          <t>—</t>
        </is>
      </c>
      <c r="E88" s="16" t="n"/>
      <c r="F88" s="17" t="n"/>
      <c r="G88" s="17" t="n"/>
    </row>
    <row r="89">
      <c r="A89" s="18" t="n">
        <v>160</v>
      </c>
      <c r="B89" s="19" t="inlineStr">
        <is>
          <t>DISH 29 Hp
HiGh Perfomance dish dual 29DB</t>
        </is>
      </c>
      <c r="C89" s="18" t="n">
        <v>0</v>
      </c>
      <c r="D89" s="21" t="n">
        <v>9.5</v>
      </c>
      <c r="E89" s="16" t="n"/>
      <c r="F89" s="17" t="n"/>
      <c r="G89" s="17" t="n"/>
    </row>
    <row r="90">
      <c r="A90" s="12" t="n">
        <v>161</v>
      </c>
      <c r="B90" s="13" t="inlineStr">
        <is>
          <t>DISH 29 6
HiGh Perfomance dish dual 29DB 6GHZ</t>
        </is>
      </c>
      <c r="C90" s="12" t="n">
        <v>0</v>
      </c>
      <c r="D90" s="15" t="n">
        <v>9.5</v>
      </c>
      <c r="E90" s="16" t="n"/>
      <c r="F90" s="17" t="n"/>
      <c r="G90" s="17" t="n"/>
    </row>
    <row r="91">
      <c r="A91" s="18" t="n">
        <v>162</v>
      </c>
      <c r="B91" s="19" t="inlineStr">
        <is>
          <t>DISH 30 H
WimaxNear solid dish 30db daul H</t>
        </is>
      </c>
      <c r="C91" s="20" t="n">
        <v>25</v>
      </c>
      <c r="D91" s="21" t="n">
        <v>7</v>
      </c>
      <c r="E91" s="16" t="n"/>
      <c r="F91" s="17" t="n"/>
      <c r="G91" s="17" t="n"/>
    </row>
    <row r="92">
      <c r="A92" s="12" t="n">
        <v>163</v>
      </c>
      <c r="B92" s="13" t="inlineStr">
        <is>
          <t>DISH 30 L
WimaxNear solid dish 30db daul L</t>
        </is>
      </c>
      <c r="C92" s="14" t="n">
        <v>78</v>
      </c>
      <c r="D92" s="15" t="n">
        <v>4.8</v>
      </c>
      <c r="E92" s="16" t="n"/>
      <c r="F92" s="17" t="n"/>
      <c r="G92" s="17" t="n"/>
    </row>
    <row r="93">
      <c r="A93" s="18" t="n">
        <v>164</v>
      </c>
      <c r="B93" s="19" t="inlineStr">
        <is>
          <t>DISH 30 XD
WimaxNear Sp 62-30 XD</t>
        </is>
      </c>
      <c r="C93" s="20" t="n">
        <v>21</v>
      </c>
      <c r="D93" s="21" t="n">
        <v>5.5</v>
      </c>
      <c r="E93" s="16" t="n"/>
      <c r="F93" s="17" t="n"/>
      <c r="G93" s="17" t="n"/>
    </row>
    <row r="94">
      <c r="A94" s="12" t="n">
        <v>165</v>
      </c>
      <c r="B94" s="13" t="inlineStr">
        <is>
          <t>DISH  32 HP
WimaxNear 32DBI DUAL HP</t>
        </is>
      </c>
      <c r="C94" s="14" t="n">
        <v>2</v>
      </c>
      <c r="D94" s="15" t="n">
        <v>12</v>
      </c>
      <c r="E94" s="16" t="n"/>
      <c r="F94" s="17" t="n"/>
      <c r="G94" s="17" t="n"/>
    </row>
    <row r="95">
      <c r="A95" s="18" t="n">
        <v>166</v>
      </c>
      <c r="B95" s="19" t="inlineStr">
        <is>
          <t>DISH  32 H
WimaxNear  sp-62-32 dual  Dish</t>
        </is>
      </c>
      <c r="C95" s="20" t="n">
        <v>27</v>
      </c>
      <c r="D95" s="21" t="n">
        <v>9.300000000000001</v>
      </c>
      <c r="E95" s="16" t="n"/>
      <c r="F95" s="17" t="n"/>
      <c r="G95" s="17" t="n"/>
    </row>
    <row r="96">
      <c r="A96" s="12" t="n">
        <v>167</v>
      </c>
      <c r="B96" s="13" t="inlineStr">
        <is>
          <t>DISH 32
WIMAXNEAR SP62-32-BAND 4</t>
        </is>
      </c>
      <c r="C96" s="12" t="n">
        <v>0</v>
      </c>
      <c r="D96" s="15" t="inlineStr">
        <is>
          <t>—</t>
        </is>
      </c>
      <c r="E96" s="16" t="n"/>
      <c r="F96" s="17" t="n"/>
      <c r="G96" s="17" t="n"/>
    </row>
    <row r="97">
      <c r="A97" s="18" t="n">
        <v>168</v>
      </c>
      <c r="B97" s="19" t="inlineStr">
        <is>
          <t>DISH  33 H
WimaxNear sp62-33 dual Dish  H</t>
        </is>
      </c>
      <c r="C97" s="20" t="n">
        <v>48</v>
      </c>
      <c r="D97" s="21" t="n">
        <v>9.9</v>
      </c>
      <c r="E97" s="16" t="n"/>
      <c r="F97" s="17" t="n"/>
      <c r="G97" s="17" t="n"/>
    </row>
    <row r="98">
      <c r="A98" s="12" t="n">
        <v>169</v>
      </c>
      <c r="B98" s="13" t="inlineStr">
        <is>
          <t>DISH 33 L
WimaxNear sp62-33 dual Dish LO</t>
        </is>
      </c>
      <c r="C98" s="14" t="n">
        <v>28</v>
      </c>
      <c r="D98" s="15" t="n">
        <v>7.5</v>
      </c>
      <c r="E98" s="16" t="n"/>
      <c r="F98" s="17" t="n"/>
      <c r="G98" s="17" t="n"/>
    </row>
    <row r="99">
      <c r="A99" s="18" t="n">
        <v>170</v>
      </c>
      <c r="B99" s="19" t="inlineStr">
        <is>
          <t>DISH 33 BAND L 6
WimaxNear  33d640462-dish dual  LO</t>
        </is>
      </c>
      <c r="C99" s="20" t="n">
        <v>5</v>
      </c>
      <c r="D99" s="21" t="n">
        <v>7.5</v>
      </c>
      <c r="E99" s="16" t="n"/>
      <c r="F99" s="17" t="n"/>
      <c r="G99" s="17" t="n"/>
    </row>
    <row r="100">
      <c r="A100" s="12" t="n">
        <v>171</v>
      </c>
      <c r="B100" s="13" t="inlineStr">
        <is>
          <t>DISH 33 XD
WimaxNear Sp 62-33 XD</t>
        </is>
      </c>
      <c r="C100" s="12" t="n">
        <v>0</v>
      </c>
      <c r="D100" s="15" t="n">
        <v>11</v>
      </c>
      <c r="E100" s="16" t="n"/>
      <c r="F100" s="17" t="n"/>
      <c r="G100" s="17" t="n"/>
    </row>
    <row r="101">
      <c r="A101" s="18" t="n">
        <v>172</v>
      </c>
      <c r="B101" s="19" t="inlineStr">
        <is>
          <t>DISH 34 H
WimaxNear SP62-34  DUAL H</t>
        </is>
      </c>
      <c r="C101" s="20" t="n">
        <v>12</v>
      </c>
      <c r="D101" s="21" t="n">
        <v>12</v>
      </c>
      <c r="E101" s="16" t="n"/>
      <c r="F101" s="17" t="n"/>
      <c r="G101" s="17" t="n"/>
    </row>
    <row r="102">
      <c r="A102" s="12" t="n">
        <v>173</v>
      </c>
      <c r="B102" s="13" t="inlineStr">
        <is>
          <t>DISH 35 HP
High PERFORMANCE 35 DUAL DISH</t>
        </is>
      </c>
      <c r="C102" s="12" t="n">
        <v>0</v>
      </c>
      <c r="D102" s="15" t="n">
        <v>12.5</v>
      </c>
      <c r="E102" s="16" t="n"/>
      <c r="F102" s="17" t="n"/>
      <c r="G102" s="17" t="n"/>
    </row>
    <row r="103">
      <c r="A103" s="18" t="n">
        <v>174</v>
      </c>
      <c r="B103" s="19" t="inlineStr">
        <is>
          <t>PHASE</t>
        </is>
      </c>
      <c r="C103" s="18" t="n">
        <v>0</v>
      </c>
      <c r="D103" s="21" t="inlineStr">
        <is>
          <t>—</t>
        </is>
      </c>
      <c r="E103" s="16" t="n"/>
      <c r="F103" s="17" t="n"/>
      <c r="G103" s="17" t="n"/>
    </row>
    <row r="104">
      <c r="A104" s="12" t="n">
        <v>175</v>
      </c>
      <c r="B104" s="13" t="inlineStr">
        <is>
          <t>DISH 30-ISO-ECO-5-PHASE</t>
        </is>
      </c>
      <c r="C104" s="14" t="n">
        <v>15</v>
      </c>
      <c r="D104" s="15" t="inlineStr">
        <is>
          <t>—</t>
        </is>
      </c>
      <c r="E104" s="16" t="n"/>
      <c r="F104" s="17" t="n"/>
      <c r="G104" s="17" t="n"/>
    </row>
    <row r="105">
      <c r="A105" s="18" t="n">
        <v>176</v>
      </c>
      <c r="B105" s="19" t="inlineStr">
        <is>
          <t>DISH 30X PHASE</t>
        </is>
      </c>
      <c r="C105" s="18" t="n">
        <v>0</v>
      </c>
      <c r="D105" s="21" t="inlineStr">
        <is>
          <t>—</t>
        </is>
      </c>
      <c r="E105" s="16" t="n"/>
      <c r="F105" s="17" t="n"/>
      <c r="G105" s="17" t="n"/>
    </row>
    <row r="106">
      <c r="A106" s="12" t="n">
        <v>177</v>
      </c>
      <c r="B106" s="13" t="inlineStr">
        <is>
          <t>DISH 34-EASY-5-PHASE</t>
        </is>
      </c>
      <c r="C106" s="14" t="n">
        <v>6</v>
      </c>
      <c r="D106" s="15" t="inlineStr">
        <is>
          <t>—</t>
        </is>
      </c>
      <c r="E106" s="16" t="n"/>
      <c r="F106" s="17" t="n"/>
      <c r="G106" s="17" t="n"/>
    </row>
    <row r="107">
      <c r="A107" s="18" t="n">
        <v>178</v>
      </c>
      <c r="B107" s="19" t="inlineStr">
        <is>
          <t>DISH 34-ECO-5-PHASE</t>
        </is>
      </c>
      <c r="C107" s="20" t="n">
        <v>8</v>
      </c>
      <c r="D107" s="21" t="inlineStr">
        <is>
          <t>—</t>
        </is>
      </c>
      <c r="E107" s="16" t="n"/>
      <c r="F107" s="17" t="n"/>
      <c r="G107" s="17" t="n"/>
    </row>
    <row r="108">
      <c r="A108" s="12" t="n">
        <v>179</v>
      </c>
      <c r="B108" s="13" t="inlineStr">
        <is>
          <t>DELTALINK</t>
        </is>
      </c>
      <c r="C108" s="12" t="n">
        <v>0</v>
      </c>
      <c r="D108" s="15" t="inlineStr">
        <is>
          <t>—</t>
        </is>
      </c>
      <c r="E108" s="16" t="n"/>
      <c r="F108" s="17" t="n"/>
      <c r="G108" s="17" t="n"/>
    </row>
    <row r="109">
      <c r="A109" s="18" t="n">
        <v>180</v>
      </c>
      <c r="B109" s="19" t="inlineStr">
        <is>
          <t>Deltalink ANT-SHP5529N</t>
        </is>
      </c>
      <c r="C109" s="18" t="n">
        <v>0</v>
      </c>
      <c r="D109" s="21" t="inlineStr">
        <is>
          <t>—</t>
        </is>
      </c>
      <c r="E109" s="16" t="n"/>
      <c r="F109" s="17" t="n"/>
      <c r="G109" s="17" t="n"/>
    </row>
    <row r="110">
      <c r="A110" s="12" t="n">
        <v>181</v>
      </c>
      <c r="B110" s="13" t="inlineStr">
        <is>
          <t>Deltalink dish 30 db dual</t>
        </is>
      </c>
      <c r="C110" s="14" t="n">
        <v>50</v>
      </c>
      <c r="D110" s="15" t="inlineStr">
        <is>
          <t>—</t>
        </is>
      </c>
      <c r="E110" s="16" t="n"/>
      <c r="F110" s="17" t="n"/>
      <c r="G110" s="17" t="n"/>
    </row>
    <row r="111">
      <c r="A111" s="18" t="n">
        <v>182</v>
      </c>
      <c r="B111" s="19" t="inlineStr">
        <is>
          <t>Deltalink ANT-5531N</t>
        </is>
      </c>
      <c r="C111" s="20" t="n">
        <v>9</v>
      </c>
      <c r="D111" s="21" t="inlineStr">
        <is>
          <t>—</t>
        </is>
      </c>
      <c r="E111" s="16" t="n"/>
      <c r="F111" s="17" t="n"/>
      <c r="G111" s="17" t="n"/>
    </row>
    <row r="112">
      <c r="A112" s="12" t="n">
        <v>183</v>
      </c>
      <c r="B112" s="13" t="inlineStr">
        <is>
          <t>Deltalink 35 hp dual</t>
        </is>
      </c>
      <c r="C112" s="14" t="n">
        <v>4</v>
      </c>
      <c r="D112" s="15" t="inlineStr">
        <is>
          <t>—</t>
        </is>
      </c>
      <c r="E112" s="16" t="n"/>
      <c r="F112" s="17" t="n"/>
      <c r="G112" s="17" t="n"/>
    </row>
    <row r="113">
      <c r="A113" s="18" t="n">
        <v>185</v>
      </c>
      <c r="B113" s="19" t="inlineStr">
        <is>
          <t>mikrowan cable کابل</t>
        </is>
      </c>
      <c r="C113" s="20" t="n">
        <v>12648</v>
      </c>
      <c r="D113" s="21" t="inlineStr">
        <is>
          <t>—</t>
        </is>
      </c>
      <c r="E113" s="16" t="n"/>
      <c r="F113" s="17" t="n"/>
      <c r="G113" s="17" t="n"/>
    </row>
    <row r="114">
      <c r="A114" s="12" t="n">
        <v>186</v>
      </c>
      <c r="B114" s="13" t="inlineStr">
        <is>
          <t>waimax cable cat 5 sftp کابل</t>
        </is>
      </c>
      <c r="C114" s="14" t="n">
        <v>1474</v>
      </c>
      <c r="D114" s="15" t="inlineStr">
        <is>
          <t>—</t>
        </is>
      </c>
      <c r="E114" s="16" t="n"/>
      <c r="F114" s="17" t="n"/>
      <c r="G114" s="17" t="n"/>
    </row>
    <row r="115">
      <c r="A115" s="18" t="n">
        <v>187</v>
      </c>
      <c r="B115" s="19" t="inlineStr">
        <is>
          <t>WIMAX CABLE INDOOR/CAT6-utp</t>
        </is>
      </c>
      <c r="C115" s="20" t="n">
        <v>84810</v>
      </c>
      <c r="D115" s="21" t="inlineStr">
        <is>
          <t>—</t>
        </is>
      </c>
      <c r="E115" s="16" t="n"/>
      <c r="F115" s="17" t="n"/>
      <c r="G115" s="17" t="n"/>
    </row>
    <row r="116">
      <c r="A116" s="12" t="n">
        <v>188</v>
      </c>
      <c r="B116" s="13" t="inlineStr">
        <is>
          <t>WIMAX CABLE/CAT6-UTP-OUTDOOR</t>
        </is>
      </c>
      <c r="C116" s="12" t="n">
        <v>0</v>
      </c>
      <c r="D116" s="15" t="inlineStr">
        <is>
          <t>—</t>
        </is>
      </c>
      <c r="E116" s="16" t="n"/>
      <c r="F116" s="17" t="n"/>
      <c r="G116" s="17" t="n"/>
    </row>
    <row r="117">
      <c r="A117" s="18" t="n">
        <v>189</v>
      </c>
      <c r="B117" s="19" t="inlineStr">
        <is>
          <t>wimax cable-indoor cat6 sftp</t>
        </is>
      </c>
      <c r="C117" s="20" t="n">
        <v>65619</v>
      </c>
      <c r="D117" s="21" t="inlineStr">
        <is>
          <t>—</t>
        </is>
      </c>
      <c r="E117" s="16" t="n"/>
      <c r="F117" s="17" t="n"/>
      <c r="G117" s="17" t="n"/>
    </row>
    <row r="118">
      <c r="A118" s="12" t="n">
        <v>190</v>
      </c>
      <c r="B118" s="13" t="inlineStr">
        <is>
          <t>wimax cable cat 6 sftp زیرمتراژ</t>
        </is>
      </c>
      <c r="C118" s="14" t="n">
        <v>44052</v>
      </c>
      <c r="D118" s="15" t="inlineStr">
        <is>
          <t>—</t>
        </is>
      </c>
      <c r="E118" s="16" t="n"/>
      <c r="F118" s="17" t="n"/>
      <c r="G118" s="17" t="n"/>
    </row>
    <row r="119">
      <c r="A119" s="18" t="n">
        <v>191</v>
      </c>
      <c r="B119" s="19" t="inlineStr">
        <is>
          <t>wimax cable cat 6 sftp حلقه</t>
        </is>
      </c>
      <c r="C119" s="18" t="n">
        <v>0</v>
      </c>
      <c r="D119" s="21" t="inlineStr">
        <is>
          <t>—</t>
        </is>
      </c>
      <c r="E119" s="16" t="n"/>
      <c r="F119" s="17" t="n"/>
      <c r="G119" s="17" t="n"/>
    </row>
    <row r="120">
      <c r="A120" s="12" t="n">
        <v>192</v>
      </c>
      <c r="B120" s="13" t="inlineStr">
        <is>
          <t>WIFI Cable cat6 sftp outdoor کابل</t>
        </is>
      </c>
      <c r="C120" s="14" t="n">
        <v>714</v>
      </c>
      <c r="D120" s="15" t="inlineStr">
        <is>
          <t>—</t>
        </is>
      </c>
      <c r="E120" s="16" t="n"/>
      <c r="F120" s="17" t="n"/>
      <c r="G120" s="17" t="n"/>
    </row>
    <row r="121">
      <c r="A121" s="18" t="n">
        <v>194</v>
      </c>
      <c r="B121" s="19" t="inlineStr">
        <is>
          <t>RBGPOE-CON-HP</t>
        </is>
      </c>
      <c r="C121" s="20" t="n">
        <v>8</v>
      </c>
      <c r="D121" s="21" t="n">
        <v>5</v>
      </c>
      <c r="E121" s="16" t="n"/>
      <c r="F121" s="17" t="n"/>
      <c r="G121" s="17" t="n"/>
    </row>
    <row r="122">
      <c r="A122" s="12" t="n">
        <v>195</v>
      </c>
      <c r="B122" s="13" t="inlineStr">
        <is>
          <t>poe 10/100    mikrotik Rb-poe</t>
        </is>
      </c>
      <c r="C122" s="14" t="n">
        <v>88</v>
      </c>
      <c r="D122" s="15" t="n">
        <v>0.88</v>
      </c>
      <c r="E122" s="16" t="n"/>
      <c r="F122" s="17" t="n"/>
      <c r="G122" s="17" t="n"/>
    </row>
    <row r="123">
      <c r="A123" s="18" t="n">
        <v>196</v>
      </c>
      <c r="B123" s="19" t="inlineStr">
        <is>
          <t>poe  G   mikrotik.    RB-Gpoe</t>
        </is>
      </c>
      <c r="C123" s="20" t="n">
        <v>34</v>
      </c>
      <c r="D123" s="21" t="n">
        <v>1.7</v>
      </c>
      <c r="E123" s="16" t="n"/>
      <c r="F123" s="17" t="n"/>
      <c r="G123" s="17" t="n"/>
    </row>
    <row r="124">
      <c r="A124" s="12" t="n">
        <v>197</v>
      </c>
      <c r="B124" s="13" t="inlineStr">
        <is>
          <t>poe hrui G 48v 0.63 (30w)</t>
        </is>
      </c>
      <c r="C124" s="14" t="n">
        <v>6</v>
      </c>
      <c r="D124" s="15" t="n">
        <v>2.3</v>
      </c>
      <c r="E124" s="16" t="n"/>
      <c r="F124" s="17" t="n"/>
      <c r="G124" s="17" t="n"/>
    </row>
    <row r="125">
      <c r="A125" s="18" t="n">
        <v>198</v>
      </c>
      <c r="B125" s="19" t="inlineStr">
        <is>
          <t>shenzhen G 24v 0.5a (12w)</t>
        </is>
      </c>
      <c r="C125" s="20" t="n">
        <v>102</v>
      </c>
      <c r="D125" s="21" t="n">
        <v>2.3</v>
      </c>
      <c r="E125" s="16" t="n"/>
      <c r="F125" s="17" t="n"/>
      <c r="G125" s="17" t="n"/>
    </row>
    <row r="126">
      <c r="A126" s="12" t="n">
        <v>199</v>
      </c>
      <c r="B126" s="13" t="inlineStr">
        <is>
          <t>poe mimosa B5x G 50v 1.2a (60w)</t>
        </is>
      </c>
      <c r="C126" s="14" t="n">
        <v>1</v>
      </c>
      <c r="D126" s="15" t="n">
        <v>6.5</v>
      </c>
      <c r="E126" s="16" t="n"/>
      <c r="F126" s="17" t="n"/>
      <c r="G126" s="17" t="n"/>
    </row>
    <row r="127">
      <c r="A127" s="18" t="n">
        <v>200</v>
      </c>
      <c r="B127" s="19" t="inlineStr">
        <is>
          <t>ubnt-U POE AF 48v 0.32a(15.36w)</t>
        </is>
      </c>
      <c r="C127" s="20" t="n">
        <v>11</v>
      </c>
      <c r="D127" s="21" t="n">
        <v>3.8</v>
      </c>
      <c r="E127" s="16" t="n"/>
      <c r="F127" s="17" t="n"/>
      <c r="G127" s="17" t="n"/>
    </row>
    <row r="128">
      <c r="A128" s="12" t="n">
        <v>201</v>
      </c>
      <c r="B128" s="13" t="inlineStr">
        <is>
          <t>poe ubnt G 24v 1a (24w)</t>
        </is>
      </c>
      <c r="C128" s="14" t="n">
        <v>43</v>
      </c>
      <c r="D128" s="15" t="n">
        <v>2.7</v>
      </c>
      <c r="E128" s="16" t="n"/>
      <c r="F128" s="17" t="n"/>
      <c r="G128" s="17" t="n"/>
    </row>
    <row r="129">
      <c r="A129" s="18" t="n">
        <v>202</v>
      </c>
      <c r="B129" s="19" t="inlineStr">
        <is>
          <t>poe ubnt (100) 24v 0.5a (12w)</t>
        </is>
      </c>
      <c r="C129" s="20" t="n">
        <v>103</v>
      </c>
      <c r="D129" s="21" t="n">
        <v>1.2</v>
      </c>
      <c r="E129" s="16" t="n"/>
      <c r="F129" s="17" t="n"/>
      <c r="G129" s="17" t="n"/>
    </row>
    <row r="130">
      <c r="A130" s="12" t="n">
        <v>203</v>
      </c>
      <c r="B130" s="13" t="inlineStr">
        <is>
          <t>poe ubnt G 48v 0.5a (24w) oem</t>
        </is>
      </c>
      <c r="C130" s="14" t="n">
        <v>4</v>
      </c>
      <c r="D130" s="15" t="n">
        <v>2.3</v>
      </c>
      <c r="E130" s="16" t="n"/>
      <c r="F130" s="17" t="n"/>
      <c r="G130" s="17" t="n"/>
    </row>
    <row r="131">
      <c r="A131" s="18" t="n">
        <v>204</v>
      </c>
      <c r="B131" s="19" t="inlineStr">
        <is>
          <t>ubnt G upoe af 48v 0.32a (15.36w)</t>
        </is>
      </c>
      <c r="C131" s="20" t="n">
        <v>11</v>
      </c>
      <c r="D131" s="21" t="n">
        <v>3.3</v>
      </c>
      <c r="E131" s="16" t="n"/>
      <c r="F131" s="17" t="n"/>
      <c r="G131" s="17" t="n"/>
    </row>
    <row r="132">
      <c r="A132" s="12" t="n">
        <v>205</v>
      </c>
      <c r="B132" s="13" t="inlineStr">
        <is>
          <t>ubnt G upoe at 48v 0.65a (31.2w)</t>
        </is>
      </c>
      <c r="C132" s="14" t="n">
        <v>1</v>
      </c>
      <c r="D132" s="15" t="n">
        <v>3.8</v>
      </c>
      <c r="E132" s="16" t="n"/>
      <c r="F132" s="17" t="n"/>
      <c r="G132" s="17" t="n"/>
    </row>
    <row r="133">
      <c r="A133" s="18" t="n">
        <v>206</v>
      </c>
      <c r="B133" s="19" t="inlineStr">
        <is>
          <t>engeniusG eap5006 54v 0.6a (32.4w)</t>
        </is>
      </c>
      <c r="C133" s="20" t="n">
        <v>1</v>
      </c>
      <c r="D133" s="21" t="inlineStr">
        <is>
          <t>—</t>
        </is>
      </c>
      <c r="E133" s="16" t="n"/>
      <c r="F133" s="17" t="n"/>
      <c r="G133" s="17" t="n"/>
    </row>
    <row r="134">
      <c r="A134" s="12" t="n">
        <v>207</v>
      </c>
      <c r="B134" s="13" t="inlineStr">
        <is>
          <t>poe enjector (2pcs)</t>
        </is>
      </c>
      <c r="C134" s="14" t="n">
        <v>48</v>
      </c>
      <c r="D134" s="15" t="n">
        <v>0.7</v>
      </c>
      <c r="E134" s="16" t="n"/>
      <c r="F134" s="17" t="n"/>
      <c r="G134" s="17" t="n"/>
    </row>
  </sheetData>
  <autoFilter ref="A12:G134"/>
  <mergeCells count="5">
    <mergeCell ref="A1:G1"/>
    <mergeCell ref="B5:G5"/>
    <mergeCell ref="A2:G2"/>
    <mergeCell ref="B7:G7"/>
    <mergeCell ref="B6:G6"/>
  </mergeCells>
  <dataValidations count="1">
    <dataValidation sqref="E14:E134" showDropDown="0" showInputMessage="0" showErrorMessage="0" allowBlank="1" errorTitle="مقدار نامعتبر" error="فقط یکی از سه گزینهٔ فهرست را انتخاب کنید." promptTitle="تصمیم فروش" prompt="یکی از سه گزینه را انتخاب کنید." type="list">
      <formula1>"اضافه شود,اضافه نشود,تکراری"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0" customWidth="1" min="3" max="3"/>
    <col width="16" customWidth="1" min="4" max="4"/>
    <col width="18" customWidth="1" min="5" max="5"/>
    <col width="38" customWidth="1" min="6" max="6"/>
    <col width="30" customWidth="1" min="7" max="7"/>
  </cols>
  <sheetData>
    <row r="1" ht="24" customHeight="1">
      <c r="A1" s="1" t="inlineStr">
        <is>
          <t>کالاهای نیازمند بررسی دستی — 13 کالا</t>
        </is>
      </c>
    </row>
    <row r="2">
      <c r="A2" s="2" t="inlineStr">
        <is>
          <t>نام این ردیف‌ها در فایل کلی است و با بیش از یک محصول سایت هم‌خوانی دارد (مثلاً «HEX LITE»). احتمالاً در سایت هستند — لطفاً مدل دقیق را در ستون «نام محصول در سایت» بنویسید.</t>
        </is>
      </c>
    </row>
    <row r="4">
      <c r="A4" s="3" t="inlineStr">
        <is>
          <t>راهنمای تکمیل</t>
        </is>
      </c>
      <c r="E4" s="4" t="inlineStr">
        <is>
          <t>فقط ستون‌های زرد را پر کنید</t>
        </is>
      </c>
    </row>
    <row r="5">
      <c r="A5" s="5" t="inlineStr">
        <is>
          <t>اضافه شود</t>
        </is>
      </c>
      <c r="B5" s="6" t="inlineStr">
        <is>
          <t>کالا باید به‌عنوان محصول جدید در سایت ساخته شود.</t>
        </is>
      </c>
    </row>
    <row r="6">
      <c r="A6" s="5" t="inlineStr">
        <is>
          <t>اضافه نشود</t>
        </is>
      </c>
      <c r="B6" s="6" t="inlineStr">
        <is>
          <t>این کالا قرار نیست در سایت فروخته شود.</t>
        </is>
      </c>
    </row>
    <row r="7">
      <c r="A7" s="5" t="inlineStr">
        <is>
          <t>تکراری</t>
        </is>
      </c>
      <c r="B7" s="6" t="inlineStr">
        <is>
          <t>همین کالا با نام دیگری در سایت هست — نام سایت را در ستون بعدی بنویسید.</t>
        </is>
      </c>
    </row>
    <row r="9" ht="30" customHeight="1">
      <c r="A9" s="9" t="inlineStr">
        <is>
          <t>ردیف اکسل</t>
        </is>
      </c>
      <c r="B9" s="9" t="inlineStr">
        <is>
          <t>نام کالا در فایل</t>
        </is>
      </c>
      <c r="C9" s="9" t="inlineStr">
        <is>
          <t>موجودی</t>
        </is>
      </c>
      <c r="D9" s="9" t="inlineStr">
        <is>
          <t>قیمت فایل (م.ت)</t>
        </is>
      </c>
      <c r="E9" s="9" t="inlineStr">
        <is>
          <t>تصمیم فروش</t>
        </is>
      </c>
      <c r="F9" s="9" t="inlineStr">
        <is>
          <t>نام محصول در سایت (اگر «تکراری»)</t>
        </is>
      </c>
      <c r="G9" s="9" t="inlineStr">
        <is>
          <t>توضیح (اختیاری)</t>
        </is>
      </c>
    </row>
    <row r="10">
      <c r="A10" s="10" t="inlineStr">
        <is>
          <t>نمونه</t>
        </is>
      </c>
      <c r="B10" s="11" t="inlineStr">
        <is>
          <t>CCR2004-1G-12S+2XS</t>
        </is>
      </c>
      <c r="C10" s="10" t="n">
        <v>3</v>
      </c>
      <c r="D10" s="10" t="n">
        <v>97</v>
      </c>
      <c r="E10" s="10" t="inlineStr">
        <is>
          <t>اضافه شود</t>
        </is>
      </c>
      <c r="F10" s="11" t="inlineStr"/>
      <c r="G10" s="11" t="inlineStr">
        <is>
          <t>همراه با ماژول SFP سفارش شود</t>
        </is>
      </c>
    </row>
    <row r="11">
      <c r="A11" s="12" t="n">
        <v>14</v>
      </c>
      <c r="B11" s="13" t="inlineStr">
        <is>
          <t>CRS-125-24G-1s-2HND-IN</t>
        </is>
      </c>
      <c r="C11" s="14" t="n">
        <v>4</v>
      </c>
      <c r="D11" s="15" t="n">
        <v>40</v>
      </c>
      <c r="E11" s="16" t="n"/>
      <c r="F11" s="17" t="n"/>
      <c r="G11" s="17" t="n"/>
    </row>
    <row r="12">
      <c r="A12" s="18" t="n">
        <v>20</v>
      </c>
      <c r="B12" s="19" t="inlineStr">
        <is>
          <t>1100 AHX4</t>
        </is>
      </c>
      <c r="C12" s="20" t="n">
        <v>14</v>
      </c>
      <c r="D12" s="21" t="n">
        <v>70</v>
      </c>
      <c r="E12" s="16" t="n"/>
      <c r="F12" s="17" t="n"/>
      <c r="G12" s="17" t="n"/>
    </row>
    <row r="13">
      <c r="A13" s="12" t="n">
        <v>35</v>
      </c>
      <c r="B13" s="13" t="inlineStr">
        <is>
          <t>HEX LITE</t>
        </is>
      </c>
      <c r="C13" s="14" t="n">
        <v>8</v>
      </c>
      <c r="D13" s="15" t="n">
        <v>8.949999999999999</v>
      </c>
      <c r="E13" s="16" t="n"/>
      <c r="F13" s="17" t="n"/>
      <c r="G13" s="17" t="n"/>
    </row>
    <row r="14">
      <c r="A14" s="18" t="n">
        <v>37</v>
      </c>
      <c r="B14" s="19" t="inlineStr">
        <is>
          <t>HEX POE</t>
        </is>
      </c>
      <c r="C14" s="20" t="n">
        <v>8</v>
      </c>
      <c r="D14" s="21" t="n">
        <v>18.5</v>
      </c>
      <c r="E14" s="16" t="n"/>
      <c r="F14" s="17" t="n"/>
      <c r="G14" s="17" t="n"/>
    </row>
    <row r="15">
      <c r="A15" s="12" t="n">
        <v>43</v>
      </c>
      <c r="B15" s="13" t="inlineStr">
        <is>
          <t>Hap ax lite</t>
        </is>
      </c>
      <c r="C15" s="14" t="n">
        <v>50</v>
      </c>
      <c r="D15" s="15" t="n">
        <v>13.5</v>
      </c>
      <c r="E15" s="16" t="n"/>
      <c r="F15" s="17" t="n"/>
      <c r="G15" s="17" t="n"/>
    </row>
    <row r="16">
      <c r="A16" s="18" t="n">
        <v>50</v>
      </c>
      <c r="B16" s="19" t="inlineStr">
        <is>
          <t>QRT 5</t>
        </is>
      </c>
      <c r="C16" s="20" t="n">
        <v>102</v>
      </c>
      <c r="D16" s="21" t="n">
        <v>38</v>
      </c>
      <c r="E16" s="16" t="n"/>
      <c r="F16" s="17" t="n"/>
      <c r="G16" s="17" t="n"/>
    </row>
    <row r="17">
      <c r="A17" s="12" t="n">
        <v>63</v>
      </c>
      <c r="B17" s="13" t="inlineStr">
        <is>
          <t>METAL 52 AC</t>
        </is>
      </c>
      <c r="C17" s="12" t="n">
        <v>0</v>
      </c>
      <c r="D17" s="15" t="inlineStr">
        <is>
          <t>—</t>
        </is>
      </c>
      <c r="E17" s="16" t="n"/>
      <c r="F17" s="17" t="n"/>
      <c r="G17" s="17" t="n"/>
    </row>
    <row r="18">
      <c r="A18" s="18" t="n">
        <v>72</v>
      </c>
      <c r="B18" s="19" t="inlineStr">
        <is>
          <t>CAP AC</t>
        </is>
      </c>
      <c r="C18" s="20" t="n">
        <v>42</v>
      </c>
      <c r="D18" s="21" t="n">
        <v>17</v>
      </c>
      <c r="E18" s="16" t="n"/>
      <c r="F18" s="17" t="n"/>
      <c r="G18" s="17" t="n"/>
    </row>
    <row r="19">
      <c r="A19" s="12" t="n">
        <v>79</v>
      </c>
      <c r="B19" s="13" t="inlineStr">
        <is>
          <t>WAP AC</t>
        </is>
      </c>
      <c r="C19" s="14" t="n">
        <v>15</v>
      </c>
      <c r="D19" s="15" t="n">
        <v>19</v>
      </c>
      <c r="E19" s="16" t="n"/>
      <c r="F19" s="17" t="n"/>
      <c r="G19" s="17" t="n"/>
    </row>
    <row r="20">
      <c r="A20" s="18" t="n">
        <v>119</v>
      </c>
      <c r="B20" s="19" t="inlineStr">
        <is>
          <t>C5X</t>
        </is>
      </c>
      <c r="C20" s="18" t="n">
        <v>0</v>
      </c>
      <c r="D20" s="21" t="n">
        <v>25</v>
      </c>
      <c r="E20" s="16" t="n"/>
      <c r="F20" s="17" t="n"/>
      <c r="G20" s="17" t="n"/>
    </row>
    <row r="21">
      <c r="A21" s="12" t="n">
        <v>136</v>
      </c>
      <c r="B21" s="13" t="inlineStr">
        <is>
          <t>u6+</t>
        </is>
      </c>
      <c r="C21" s="14" t="n">
        <v>2</v>
      </c>
      <c r="D21" s="15" t="n">
        <v>22</v>
      </c>
      <c r="E21" s="16" t="n"/>
      <c r="F21" s="17" t="n"/>
      <c r="G21" s="17" t="n"/>
    </row>
    <row r="22">
      <c r="A22" s="18" t="n">
        <v>141</v>
      </c>
      <c r="B22" s="19" t="inlineStr">
        <is>
          <t>U7 LR</t>
        </is>
      </c>
      <c r="C22" s="20" t="n">
        <v>9</v>
      </c>
      <c r="D22" s="21" t="n">
        <v>36</v>
      </c>
      <c r="E22" s="16" t="n"/>
      <c r="F22" s="17" t="n"/>
      <c r="G22" s="17" t="n"/>
    </row>
    <row r="23">
      <c r="A23" s="12" t="n">
        <v>193</v>
      </c>
      <c r="B23" s="13" t="inlineStr">
        <is>
          <t>POE</t>
        </is>
      </c>
      <c r="C23" s="12" t="n">
        <v>0</v>
      </c>
      <c r="D23" s="15" t="inlineStr">
        <is>
          <t>—</t>
        </is>
      </c>
      <c r="E23" s="16" t="n"/>
      <c r="F23" s="17" t="n"/>
      <c r="G23" s="17" t="n"/>
    </row>
  </sheetData>
  <autoFilter ref="A9:G23"/>
  <mergeCells count="5">
    <mergeCell ref="A1:G1"/>
    <mergeCell ref="B5:G5"/>
    <mergeCell ref="A2:G2"/>
    <mergeCell ref="B7:G7"/>
    <mergeCell ref="B6:G6"/>
  </mergeCells>
  <dataValidations count="1">
    <dataValidation sqref="E11:E23" showDropDown="0" showInputMessage="0" showErrorMessage="0" allowBlank="1" errorTitle="مقدار نامعتبر" error="فقط یکی از سه گزینهٔ فهرست را انتخاب کنید." promptTitle="تصمیم فروش" prompt="یکی از سه گزینه را انتخاب کنید." type="list">
      <formula1>"اضافه شود,اضافه نشود,تکراری"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2026-08-16T14:56:03Z</dcterms:created>
  <dcterms:modified xsi:type="dcterms:W3CDTF">2026-08-16T14:56:03Z</dcterms:modified>
</cp:coreProperties>
</file>